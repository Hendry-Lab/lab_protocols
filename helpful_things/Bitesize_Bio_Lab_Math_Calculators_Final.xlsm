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ura\Bitesize Bio Dropbox\Laura Fulford\BitesizeBioLauraSync\content upgrades\"/>
    </mc:Choice>
  </mc:AlternateContent>
  <xr:revisionPtr revIDLastSave="0" documentId="13_ncr:1_{F7866D7A-3FD5-46F1-A417-BB6ED1BE1749}" xr6:coauthVersionLast="47" xr6:coauthVersionMax="47" xr10:uidLastSave="{00000000-0000-0000-0000-000000000000}"/>
  <bookViews>
    <workbookView xWindow="-120" yWindow="-120" windowWidth="29040" windowHeight="15840" activeTab="3" xr2:uid="{BA68BE1A-E72E-49E7-8C07-AD5CF2928663}"/>
  </bookViews>
  <sheets>
    <sheet name="Calculations for solutions" sheetId="1" r:id="rId1"/>
    <sheet name="Calculations for DNA and RNA" sheetId="2" r:id="rId2"/>
    <sheet name="Calculations for ligations" sheetId="4" r:id="rId3"/>
    <sheet name="Calculations for cell culture" sheetId="5" r:id="rId4"/>
    <sheet name="Behind the scenes stuff" sheetId="3" state="hidden" r:id="rId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1" l="1"/>
  <c r="B23" i="1" s="1"/>
  <c r="B5" i="1"/>
  <c r="B12" i="5"/>
  <c r="B7" i="5"/>
  <c r="B6" i="5"/>
  <c r="B7" i="4"/>
  <c r="B6" i="2"/>
  <c r="B10" i="1"/>
  <c r="B16" i="1"/>
</calcChain>
</file>

<file path=xl/sharedStrings.xml><?xml version="1.0" encoding="utf-8"?>
<sst xmlns="http://schemas.openxmlformats.org/spreadsheetml/2006/main" count="46" uniqueCount="43">
  <si>
    <t>Molarity</t>
  </si>
  <si>
    <t>Moles</t>
  </si>
  <si>
    <t>Mass (g)</t>
  </si>
  <si>
    <t>Diluting stock solutions</t>
  </si>
  <si>
    <t>Calculating the number of moles required for a solution</t>
  </si>
  <si>
    <t>Calculating mass required for a solution</t>
  </si>
  <si>
    <t>Volume (L)</t>
  </si>
  <si>
    <t>Serial dilution calculator</t>
  </si>
  <si>
    <t>Starting volume (mL)</t>
  </si>
  <si>
    <t>Volume of dilutant needed per tube (mL)</t>
  </si>
  <si>
    <t>Desired dilution factor (e.g. for 1:10 put 10, for 1:3 put 3)</t>
  </si>
  <si>
    <t>Number of dilutions</t>
  </si>
  <si>
    <t>ssDNA</t>
  </si>
  <si>
    <t>dsDNA</t>
  </si>
  <si>
    <t>ssRNA</t>
  </si>
  <si>
    <t>Nucleic acid types</t>
  </si>
  <si>
    <t>Concentration in µg/mL</t>
  </si>
  <si>
    <t>Nucleic acid type</t>
  </si>
  <si>
    <t>Calculating the amount of insert for ligations</t>
  </si>
  <si>
    <t>Vector weight (ng)</t>
  </si>
  <si>
    <t xml:space="preserve">insert weight required (ng) </t>
  </si>
  <si>
    <t>Required ratio of insert to vector (e.g. for a 1:3 ratio of vector to insert put 3)</t>
  </si>
  <si>
    <t>Volume of sample</t>
  </si>
  <si>
    <t>Number of cells per mL</t>
  </si>
  <si>
    <t>Notes</t>
  </si>
  <si>
    <t>Volume of dilutant (e.g. trypan blue or cell medium)</t>
  </si>
  <si>
    <t>Calculating cells per mL using a hemocytometer</t>
  </si>
  <si>
    <t>Calculating percentage viability using a hemocytometer</t>
  </si>
  <si>
    <t>Number of unstained cells</t>
  </si>
  <si>
    <t>Number of stained cells</t>
  </si>
  <si>
    <t>Dilution factor*</t>
  </si>
  <si>
    <r>
      <t>Calculating concentration of DNA or RNA from OD</t>
    </r>
    <r>
      <rPr>
        <b/>
        <vertAlign val="subscript"/>
        <sz val="11"/>
        <color theme="1"/>
        <rFont val="Poppins Regular"/>
      </rPr>
      <t>260</t>
    </r>
  </si>
  <si>
    <r>
      <t>Absorption at OD</t>
    </r>
    <r>
      <rPr>
        <vertAlign val="subscript"/>
        <sz val="11"/>
        <color theme="1"/>
        <rFont val="Poppins Regular"/>
      </rPr>
      <t>260</t>
    </r>
  </si>
  <si>
    <t xml:space="preserve">* For example, if you add 10µl of DNA/RNA to 90µl it is a 1 in 10 dilution and the dilution factor would be 10. </t>
  </si>
  <si>
    <r>
      <t>Molecular weight (g mol</t>
    </r>
    <r>
      <rPr>
        <vertAlign val="superscript"/>
        <sz val="11"/>
        <color theme="1"/>
        <rFont val="Poppins Regular"/>
      </rPr>
      <t>-1</t>
    </r>
    <r>
      <rPr>
        <sz val="11"/>
        <color theme="1"/>
        <rFont val="Poppins Regular"/>
      </rPr>
      <t>)</t>
    </r>
  </si>
  <si>
    <t>Volume of sample needed per tube (mL)</t>
  </si>
  <si>
    <t>Length of insert (bp)</t>
  </si>
  <si>
    <t>Length of vector (bp)</t>
  </si>
  <si>
    <t>Concentration of stock solution (M)</t>
  </si>
  <si>
    <t>Desired concentration (M)</t>
  </si>
  <si>
    <t>Desired volume (e.g. mL)</t>
  </si>
  <si>
    <t>Volume of stock solution required (e.g. mL)</t>
  </si>
  <si>
    <t xml:space="preserve">Number of cells in a 1 mm x 1 mm square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</si>
</sst>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Poppins Regular"/>
    </font>
    <font>
      <sz val="11"/>
      <color theme="1"/>
      <name val="Poppins Regular"/>
    </font>
    <font>
      <sz val="11"/>
      <color theme="0"/>
      <name val="Poppins Regular"/>
    </font>
    <font>
      <b/>
      <vertAlign val="subscript"/>
      <sz val="11"/>
      <color theme="1"/>
      <name val="Poppins Regular"/>
    </font>
    <font>
      <vertAlign val="subscript"/>
      <sz val="11"/>
      <color theme="1"/>
      <name val="Poppins Regular"/>
    </font>
    <font>
      <vertAlign val="superscript"/>
      <sz val="11"/>
      <color theme="1"/>
      <name val="Poppins Regula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ED630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2" borderId="2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1" fillId="3" borderId="6" xfId="0" applyFont="1" applyFill="1" applyBorder="1"/>
    <xf numFmtId="0" fontId="1" fillId="3" borderId="4" xfId="0" applyFont="1" applyFill="1" applyBorder="1"/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3" fillId="2" borderId="2" xfId="0" applyFont="1" applyFill="1" applyBorder="1" applyProtection="1">
      <protection locked="0"/>
    </xf>
    <xf numFmtId="0" fontId="3" fillId="0" borderId="3" xfId="0" applyFont="1" applyBorder="1"/>
    <xf numFmtId="0" fontId="3" fillId="2" borderId="4" xfId="0" applyFont="1" applyFill="1" applyBorder="1" applyProtection="1">
      <protection locked="0"/>
    </xf>
    <xf numFmtId="0" fontId="3" fillId="0" borderId="3" xfId="0" applyFont="1" applyFill="1" applyBorder="1"/>
    <xf numFmtId="0" fontId="3" fillId="0" borderId="5" xfId="0" applyFont="1" applyBorder="1"/>
    <xf numFmtId="0" fontId="4" fillId="3" borderId="6" xfId="0" applyFont="1" applyFill="1" applyBorder="1"/>
    <xf numFmtId="11" fontId="4" fillId="3" borderId="6" xfId="0" applyNumberFormat="1" applyFont="1" applyFill="1" applyBorder="1"/>
    <xf numFmtId="0" fontId="3" fillId="0" borderId="0" xfId="0" applyFont="1" applyFill="1" applyBorder="1"/>
    <xf numFmtId="0" fontId="3" fillId="0" borderId="0" xfId="0" applyFont="1" applyBorder="1"/>
    <xf numFmtId="11" fontId="3" fillId="0" borderId="0" xfId="0" applyNumberFormat="1" applyFont="1"/>
    <xf numFmtId="10" fontId="4" fillId="3" borderId="6" xfId="0" applyNumberFormat="1" applyFont="1" applyFill="1" applyBorder="1"/>
    <xf numFmtId="0" fontId="3" fillId="2" borderId="8" xfId="0" applyFont="1" applyFill="1" applyBorder="1" applyProtection="1">
      <protection locked="0"/>
    </xf>
    <xf numFmtId="0" fontId="2" fillId="0" borderId="0" xfId="0" applyFont="1" applyFill="1" applyBorder="1"/>
    <xf numFmtId="0" fontId="3" fillId="0" borderId="7" xfId="0" applyFont="1" applyBorder="1"/>
    <xf numFmtId="0" fontId="3" fillId="0" borderId="1" xfId="0" applyFont="1" applyFill="1" applyBorder="1"/>
    <xf numFmtId="0" fontId="3" fillId="0" borderId="5" xfId="0" applyFont="1" applyFill="1" applyBorder="1"/>
    <xf numFmtId="0" fontId="3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D63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20</xdr:row>
      <xdr:rowOff>73024</xdr:rowOff>
    </xdr:from>
    <xdr:to>
      <xdr:col>4</xdr:col>
      <xdr:colOff>238125</xdr:colOff>
      <xdr:row>22</xdr:row>
      <xdr:rowOff>196849</xdr:rowOff>
    </xdr:to>
    <xdr:sp macro="[0]!Sheet1.solutions_serial_dilution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9AFD097-5169-49B6-A73C-3F93ABB034F0}"/>
            </a:ext>
          </a:extLst>
        </xdr:cNvPr>
        <xdr:cNvSpPr/>
      </xdr:nvSpPr>
      <xdr:spPr>
        <a:xfrm>
          <a:off x="5353050" y="4778374"/>
          <a:ext cx="1152525" cy="504825"/>
        </a:xfrm>
        <a:prstGeom prst="roundRect">
          <a:avLst/>
        </a:prstGeom>
        <a:solidFill>
          <a:srgbClr val="ED630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Poppins" pitchFamily="2" charset="77"/>
              <a:cs typeface="Poppins" pitchFamily="2" charset="77"/>
            </a:rPr>
            <a:t>Calculate Serial Dilutions</a:t>
          </a:r>
        </a:p>
      </xdr:txBody>
    </xdr:sp>
    <xdr:clientData/>
  </xdr:twoCellAnchor>
  <xdr:twoCellAnchor>
    <xdr:from>
      <xdr:col>5</xdr:col>
      <xdr:colOff>47625</xdr:colOff>
      <xdr:row>20</xdr:row>
      <xdr:rowOff>66674</xdr:rowOff>
    </xdr:from>
    <xdr:to>
      <xdr:col>7</xdr:col>
      <xdr:colOff>19050</xdr:colOff>
      <xdr:row>22</xdr:row>
      <xdr:rowOff>209549</xdr:rowOff>
    </xdr:to>
    <xdr:sp macro="[0]!Sheet1.return_solutions_sheet_to_origina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5CD81D-30BE-4818-A876-BAB546C68443}"/>
            </a:ext>
          </a:extLst>
        </xdr:cNvPr>
        <xdr:cNvSpPr/>
      </xdr:nvSpPr>
      <xdr:spPr>
        <a:xfrm>
          <a:off x="7362825" y="5489574"/>
          <a:ext cx="1317625" cy="600075"/>
        </a:xfrm>
        <a:prstGeom prst="roundRect">
          <a:avLst/>
        </a:prstGeom>
        <a:solidFill>
          <a:srgbClr val="ED630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Poppins" pitchFamily="2" charset="77"/>
              <a:cs typeface="Poppins" pitchFamily="2" charset="77"/>
            </a:rPr>
            <a:t>Reset</a:t>
          </a:r>
        </a:p>
        <a:p>
          <a:pPr algn="ctr"/>
          <a:r>
            <a:rPr lang="en-US" sz="1100" baseline="0">
              <a:latin typeface="Poppins" pitchFamily="2" charset="77"/>
              <a:cs typeface="Poppins" pitchFamily="2" charset="77"/>
            </a:rPr>
            <a:t> sheet</a:t>
          </a:r>
          <a:endParaRPr lang="en-US" sz="1100">
            <a:latin typeface="Poppins" pitchFamily="2" charset="77"/>
            <a:cs typeface="Poppins" pitchFamily="2" charset="77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1976500</xdr:colOff>
      <xdr:row>0</xdr:row>
      <xdr:rowOff>774700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E7EE36B-720D-B944-B773-8324A1F2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2400"/>
          <a:ext cx="1976500" cy="812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590550</xdr:colOff>
      <xdr:row>3</xdr:row>
      <xdr:rowOff>73025</xdr:rowOff>
    </xdr:from>
    <xdr:to>
      <xdr:col>4</xdr:col>
      <xdr:colOff>561975</xdr:colOff>
      <xdr:row>5</xdr:row>
      <xdr:rowOff>219075</xdr:rowOff>
    </xdr:to>
    <xdr:sp macro="[0]!Sheet1.return_DNA_sheet_to_origina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1F91AD5-CCA9-495D-A6D4-4A61441D5EF0}"/>
            </a:ext>
          </a:extLst>
        </xdr:cNvPr>
        <xdr:cNvSpPr/>
      </xdr:nvSpPr>
      <xdr:spPr>
        <a:xfrm>
          <a:off x="5187950" y="1343025"/>
          <a:ext cx="1317625" cy="603250"/>
        </a:xfrm>
        <a:prstGeom prst="roundRect">
          <a:avLst/>
        </a:prstGeom>
        <a:solidFill>
          <a:srgbClr val="ED630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Poppins" pitchFamily="2" charset="77"/>
              <a:cs typeface="Poppins" pitchFamily="2" charset="77"/>
            </a:rPr>
            <a:t>Reset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1976500</xdr:colOff>
      <xdr:row>1</xdr:row>
      <xdr:rowOff>25400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3668714-C495-DC4D-94BD-8B2661273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976500" cy="787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267165</xdr:colOff>
      <xdr:row>4</xdr:row>
      <xdr:rowOff>47548</xdr:rowOff>
    </xdr:from>
    <xdr:to>
      <xdr:col>4</xdr:col>
      <xdr:colOff>249741</xdr:colOff>
      <xdr:row>6</xdr:row>
      <xdr:rowOff>199715</xdr:rowOff>
    </xdr:to>
    <xdr:sp macro="[0]!Sheet1.return_ligation_sheet_to_origina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97CFD9F-57D1-4646-A6CC-B1BB03298664}"/>
            </a:ext>
          </a:extLst>
        </xdr:cNvPr>
        <xdr:cNvSpPr/>
      </xdr:nvSpPr>
      <xdr:spPr>
        <a:xfrm>
          <a:off x="7493465" y="1546148"/>
          <a:ext cx="1328776" cy="609367"/>
        </a:xfrm>
        <a:prstGeom prst="roundRect">
          <a:avLst/>
        </a:prstGeom>
        <a:solidFill>
          <a:srgbClr val="ED630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Poppins" pitchFamily="2" charset="77"/>
              <a:cs typeface="Poppins" pitchFamily="2" charset="77"/>
            </a:rPr>
            <a:t>Reset</a:t>
          </a:r>
          <a:r>
            <a:rPr lang="en-US" sz="1100" baseline="0">
              <a:latin typeface="Poppins" pitchFamily="2" charset="77"/>
              <a:cs typeface="Poppins" pitchFamily="2" charset="77"/>
            </a:rPr>
            <a:t> </a:t>
          </a:r>
          <a:endParaRPr lang="en-US" sz="1100">
            <a:latin typeface="Poppins" pitchFamily="2" charset="77"/>
            <a:cs typeface="Poppins" pitchFamily="2" charset="77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1976500</xdr:colOff>
      <xdr:row>1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D62CEA3-882B-0D42-A203-EC982BF3E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976500" cy="8053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352425</xdr:colOff>
      <xdr:row>9</xdr:row>
      <xdr:rowOff>66675</xdr:rowOff>
    </xdr:from>
    <xdr:to>
      <xdr:col>4</xdr:col>
      <xdr:colOff>323850</xdr:colOff>
      <xdr:row>12</xdr:row>
      <xdr:rowOff>0</xdr:rowOff>
    </xdr:to>
    <xdr:sp macro="[0]!Sheet1.return_Cell_Culture_sheet_to_origina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9660BEE-EF0F-4BC1-9919-BEE39B4E49A7}"/>
            </a:ext>
          </a:extLst>
        </xdr:cNvPr>
        <xdr:cNvSpPr/>
      </xdr:nvSpPr>
      <xdr:spPr>
        <a:xfrm>
          <a:off x="6219825" y="2552700"/>
          <a:ext cx="1152525" cy="485775"/>
        </a:xfrm>
        <a:prstGeom prst="roundRect">
          <a:avLst/>
        </a:prstGeom>
        <a:solidFill>
          <a:srgbClr val="ED630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Poppins" pitchFamily="2" charset="77"/>
              <a:cs typeface="Poppins" pitchFamily="2" charset="77"/>
            </a:rPr>
            <a:t>Reset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1976500</xdr:colOff>
      <xdr:row>0</xdr:row>
      <xdr:rowOff>774700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3CE7180-CC61-044C-80A9-863BBA790F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2400"/>
          <a:ext cx="1976500" cy="812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3EF0C-95BF-4678-9B3F-58670CE59103}">
  <sheetPr codeName="Sheet1"/>
  <dimension ref="A1:B23"/>
  <sheetViews>
    <sheetView workbookViewId="0">
      <selection activeCell="A28" sqref="A28"/>
    </sheetView>
  </sheetViews>
  <sheetFormatPr defaultColWidth="8.85546875" defaultRowHeight="15"/>
  <cols>
    <col min="1" max="1" width="58.28515625" bestFit="1" customWidth="1"/>
    <col min="2" max="2" width="18" bestFit="1" customWidth="1"/>
  </cols>
  <sheetData>
    <row r="1" spans="1:2" ht="63" customHeight="1"/>
    <row r="2" spans="1:2" ht="15.75" thickBot="1">
      <c r="A2" s="6" t="s">
        <v>4</v>
      </c>
    </row>
    <row r="3" spans="1:2">
      <c r="A3" s="8" t="s">
        <v>6</v>
      </c>
      <c r="B3" s="1"/>
    </row>
    <row r="4" spans="1:2">
      <c r="A4" s="10" t="s">
        <v>0</v>
      </c>
      <c r="B4" s="2"/>
    </row>
    <row r="5" spans="1:2" ht="15.75" thickBot="1">
      <c r="A5" s="13" t="s">
        <v>1</v>
      </c>
      <c r="B5" s="4">
        <f>B4*B3</f>
        <v>0</v>
      </c>
    </row>
    <row r="6" spans="1:2">
      <c r="A6" s="7"/>
    </row>
    <row r="7" spans="1:2" ht="15.75" thickBot="1">
      <c r="A7" s="21" t="s">
        <v>5</v>
      </c>
    </row>
    <row r="8" spans="1:2">
      <c r="A8" s="8" t="s">
        <v>1</v>
      </c>
      <c r="B8" s="1"/>
    </row>
    <row r="9" spans="1:2" ht="17.25">
      <c r="A9" s="10" t="s">
        <v>34</v>
      </c>
      <c r="B9" s="2"/>
    </row>
    <row r="10" spans="1:2" ht="15.75" thickBot="1">
      <c r="A10" s="13" t="s">
        <v>2</v>
      </c>
      <c r="B10" s="4">
        <f>B9*B8</f>
        <v>0</v>
      </c>
    </row>
    <row r="11" spans="1:2">
      <c r="A11" s="7"/>
    </row>
    <row r="12" spans="1:2" ht="15.75" thickBot="1">
      <c r="A12" s="6" t="s">
        <v>3</v>
      </c>
    </row>
    <row r="13" spans="1:2">
      <c r="A13" s="8" t="s">
        <v>38</v>
      </c>
      <c r="B13" s="1"/>
    </row>
    <row r="14" spans="1:2">
      <c r="A14" s="22" t="s">
        <v>39</v>
      </c>
      <c r="B14" s="3"/>
    </row>
    <row r="15" spans="1:2">
      <c r="A15" s="10" t="s">
        <v>40</v>
      </c>
      <c r="B15" s="2"/>
    </row>
    <row r="16" spans="1:2" ht="15.75" thickBot="1">
      <c r="A16" s="13" t="s">
        <v>41</v>
      </c>
      <c r="B16" s="4" t="str">
        <f>IF(B13="","Enter values above",((B14/B13)*B15))</f>
        <v>Enter values above</v>
      </c>
    </row>
    <row r="17" spans="1:2">
      <c r="A17" s="7"/>
    </row>
    <row r="18" spans="1:2" ht="15.75" thickBot="1">
      <c r="A18" s="21" t="s">
        <v>7</v>
      </c>
    </row>
    <row r="19" spans="1:2">
      <c r="A19" s="23" t="s">
        <v>10</v>
      </c>
      <c r="B19" s="1"/>
    </row>
    <row r="20" spans="1:2">
      <c r="A20" s="12" t="s">
        <v>11</v>
      </c>
      <c r="B20" s="2"/>
    </row>
    <row r="21" spans="1:2">
      <c r="A21" s="12" t="s">
        <v>8</v>
      </c>
      <c r="B21" s="2"/>
    </row>
    <row r="22" spans="1:2">
      <c r="A22" s="12" t="s">
        <v>35</v>
      </c>
      <c r="B22" s="5" t="str">
        <f>IF(B19="","Enter values above",(B21/B19))</f>
        <v>Enter values above</v>
      </c>
    </row>
    <row r="23" spans="1:2" ht="15.75" thickBot="1">
      <c r="A23" s="24" t="s">
        <v>9</v>
      </c>
      <c r="B23" s="4" t="str">
        <f>IF(B22="Enter values above","Enter values above",B21-B22)</f>
        <v>Enter values above</v>
      </c>
    </row>
  </sheetData>
  <sheetProtection algorithmName="SHA-512" hashValue="DOYGMuWAqpTAk/iSNCJTqqXtFaPqvXdMIBBe8YtaTtCcCOJHvuZO6LvZmKUSVDcaFVDktm8OfyDcBiZ+i6BeDg==" saltValue="Q6RoYfaR/PGNcTkJAdBzYw==" spinCount="100000" sheet="1" objects="1" scenarios="1"/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29FD0-80B1-40A5-8912-142FD91C9E17}">
  <sheetPr codeName="Sheet2"/>
  <dimension ref="A1:B10"/>
  <sheetViews>
    <sheetView workbookViewId="0">
      <selection activeCell="B4" sqref="B4"/>
    </sheetView>
  </sheetViews>
  <sheetFormatPr defaultColWidth="8.85546875" defaultRowHeight="15"/>
  <cols>
    <col min="1" max="1" width="51.42578125" bestFit="1" customWidth="1"/>
  </cols>
  <sheetData>
    <row r="1" spans="1:2" ht="63" customHeight="1"/>
    <row r="2" spans="1:2" s="7" customFormat="1" ht="17.25" thickBot="1">
      <c r="A2" s="6" t="s">
        <v>31</v>
      </c>
    </row>
    <row r="3" spans="1:2" s="7" customFormat="1" ht="18.75">
      <c r="A3" s="8" t="s">
        <v>32</v>
      </c>
      <c r="B3" s="9"/>
    </row>
    <row r="4" spans="1:2" s="7" customFormat="1" ht="14.25">
      <c r="A4" s="10" t="s">
        <v>17</v>
      </c>
      <c r="B4" s="20" t="s">
        <v>14</v>
      </c>
    </row>
    <row r="5" spans="1:2" s="7" customFormat="1" ht="14.25">
      <c r="A5" s="16" t="s">
        <v>30</v>
      </c>
      <c r="B5" s="11"/>
    </row>
    <row r="6" spans="1:2" s="7" customFormat="1" thickBot="1">
      <c r="A6" s="13" t="s">
        <v>16</v>
      </c>
      <c r="B6" s="14">
        <f>IF(B4="ssDNA",33*B3*B5,(IF(B4="dsDNA",50*B3*B5,(IF(B4="ssRNA",40*B3*B5,"Please select nucleic acid type")))))</f>
        <v>0</v>
      </c>
    </row>
    <row r="7" spans="1:2" s="7" customFormat="1" ht="14.25"/>
    <row r="8" spans="1:2" s="7" customFormat="1" ht="14.25"/>
    <row r="9" spans="1:2" s="7" customFormat="1" ht="42.75">
      <c r="A9" s="25" t="s">
        <v>33</v>
      </c>
    </row>
    <row r="10" spans="1:2">
      <c r="A10" s="16"/>
    </row>
  </sheetData>
  <sheetProtection algorithmName="SHA-512" hashValue="31FPUkxNKEr1qWgbUTmShwI7yJwFITioYgyoZAflGBwxPxUINIJV51u2dtY+mVhzc3q1/12baPn+3R0mimwY4g==" saltValue="sWcXsL0rXoCoXhI6r6RfZg==" spinCount="100000" sheet="1" objects="1" scenarios="1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7EC499-ED05-44AB-A381-875F5403D6D5}">
          <x14:formula1>
            <xm:f>'Behind the scenes stuff'!$A$2:$A$4</xm:f>
          </x14:formula1>
          <xm:sqref>B4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AF8C6-154E-41E7-BB6C-894E864B4CFA}">
  <sheetPr codeName="Sheet4"/>
  <dimension ref="A1:B7"/>
  <sheetViews>
    <sheetView zoomScaleNormal="100" workbookViewId="0">
      <selection activeCell="B16" sqref="B16"/>
    </sheetView>
  </sheetViews>
  <sheetFormatPr defaultColWidth="8.85546875" defaultRowHeight="15"/>
  <cols>
    <col min="1" max="1" width="75.28515625" bestFit="1" customWidth="1"/>
    <col min="2" max="2" width="19.42578125" bestFit="1" customWidth="1"/>
  </cols>
  <sheetData>
    <row r="1" spans="1:2" ht="63" customHeight="1"/>
    <row r="2" spans="1:2" s="7" customFormat="1" ht="15.75" thickBot="1">
      <c r="A2" s="6" t="s">
        <v>18</v>
      </c>
    </row>
    <row r="3" spans="1:2" s="7" customFormat="1" ht="14.25">
      <c r="A3" s="8" t="s">
        <v>36</v>
      </c>
      <c r="B3" s="9"/>
    </row>
    <row r="4" spans="1:2" s="7" customFormat="1" ht="14.25">
      <c r="A4" s="10" t="s">
        <v>37</v>
      </c>
      <c r="B4" s="11"/>
    </row>
    <row r="5" spans="1:2" s="7" customFormat="1" ht="14.25">
      <c r="A5" s="12" t="s">
        <v>21</v>
      </c>
      <c r="B5" s="11"/>
    </row>
    <row r="6" spans="1:2" s="7" customFormat="1" ht="14.25">
      <c r="A6" s="12" t="s">
        <v>19</v>
      </c>
      <c r="B6" s="11"/>
    </row>
    <row r="7" spans="1:2" s="7" customFormat="1" thickBot="1">
      <c r="A7" s="13" t="s">
        <v>20</v>
      </c>
      <c r="B7" s="14" t="str">
        <f>IF(B3="", "Enter values above",(((B3/B4)*B6)*B5))</f>
        <v>Enter values above</v>
      </c>
    </row>
  </sheetData>
  <sheetProtection algorithmName="SHA-512" hashValue="bqnD7XRSOEHGBV2+y/huDFbQ3MkZ/KrcorKA9jpaYthNSCjmJ9n+mKbaaaPTymQXQ5aMjpoe5aPtzVoc/RRvtw==" saltValue="/BgrMMZpEM8YQEUx+AsOPw==" spinCount="100000" sheet="1" objects="1" scenario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EF14B-6230-4DC3-B50D-C572CBE09F1C}">
  <sheetPr codeName="Sheet5"/>
  <dimension ref="A1:B12"/>
  <sheetViews>
    <sheetView tabSelected="1" workbookViewId="0">
      <selection activeCell="A20" sqref="A20"/>
    </sheetView>
  </sheetViews>
  <sheetFormatPr defaultColWidth="8.85546875" defaultRowHeight="15"/>
  <cols>
    <col min="1" max="1" width="70" bestFit="1" customWidth="1"/>
    <col min="2" max="2" width="18" bestFit="1" customWidth="1"/>
  </cols>
  <sheetData>
    <row r="1" spans="1:2" ht="63" customHeight="1"/>
    <row r="2" spans="1:2" s="7" customFormat="1" ht="15.75" thickBot="1">
      <c r="A2" s="6" t="s">
        <v>26</v>
      </c>
    </row>
    <row r="3" spans="1:2" s="7" customFormat="1" ht="14.25">
      <c r="A3" s="8" t="s">
        <v>22</v>
      </c>
      <c r="B3" s="9"/>
    </row>
    <row r="4" spans="1:2" s="7" customFormat="1" ht="14.25">
      <c r="A4" s="10" t="s">
        <v>25</v>
      </c>
      <c r="B4" s="11"/>
    </row>
    <row r="5" spans="1:2" s="7" customFormat="1" ht="14.25">
      <c r="A5" s="12" t="s">
        <v>42</v>
      </c>
      <c r="B5" s="11"/>
    </row>
    <row r="6" spans="1:2" s="7" customFormat="1" thickBot="1">
      <c r="A6" s="13" t="s">
        <v>23</v>
      </c>
      <c r="B6" s="15" t="str">
        <f>IF(B3="", "Enter values above",(B5 * ((B4+B3)/B3)) *10000)</f>
        <v>Enter values above</v>
      </c>
    </row>
    <row r="7" spans="1:2" s="7" customFormat="1" ht="14.25">
      <c r="A7" s="16" t="s">
        <v>24</v>
      </c>
      <c r="B7" s="17" t="str">
        <f>IF(B5="","",(IF(B5&lt;49, "Sample is too dilute, aim for 50-100 cells per 1mm x 1mm square", IF(B5 &gt;100, "Sample is too concentrated, aim for 50-100 cells per 1mm x 1mm square", ""))))</f>
        <v/>
      </c>
    </row>
    <row r="8" spans="1:2" s="7" customFormat="1" ht="14.25">
      <c r="B8" s="18"/>
    </row>
    <row r="9" spans="1:2" s="7" customFormat="1" ht="15.75" thickBot="1">
      <c r="A9" s="6" t="s">
        <v>27</v>
      </c>
    </row>
    <row r="10" spans="1:2" s="7" customFormat="1" ht="14.25">
      <c r="A10" s="8" t="s">
        <v>28</v>
      </c>
      <c r="B10" s="9"/>
    </row>
    <row r="11" spans="1:2" s="7" customFormat="1" ht="14.25">
      <c r="A11" s="12" t="s">
        <v>29</v>
      </c>
      <c r="B11" s="11"/>
    </row>
    <row r="12" spans="1:2" s="7" customFormat="1" thickBot="1">
      <c r="A12" s="13" t="s">
        <v>23</v>
      </c>
      <c r="B12" s="19" t="str">
        <f>IF(B10="","Enter values above",((B10/(B10+B11))))</f>
        <v>Enter values above</v>
      </c>
    </row>
  </sheetData>
  <sheetProtection algorithmName="SHA-512" hashValue="etmS1Blgl+uJh0jmQfvN6CI4HD+k//q5pLicWgjKiB1km6fbxSLlDpW8fnb/31g6rAFrfGt8uSiDuNKBuF67ew==" saltValue="8iNGt4XBTKQEGl2O1FqRzA==" spinCount="100000" sheet="1" objects="1" scenarios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CE976-FB3C-47A0-AD94-EE30A342EA22}">
  <sheetPr codeName="Sheet3"/>
  <dimension ref="A1:A4"/>
  <sheetViews>
    <sheetView workbookViewId="0">
      <selection activeCell="C7" sqref="C7"/>
    </sheetView>
  </sheetViews>
  <sheetFormatPr defaultColWidth="8.85546875" defaultRowHeight="15"/>
  <sheetData>
    <row r="1" spans="1:1">
      <c r="A1" t="s">
        <v>15</v>
      </c>
    </row>
    <row r="2" spans="1:1">
      <c r="A2" t="s">
        <v>12</v>
      </c>
    </row>
    <row r="3" spans="1:1">
      <c r="A3" t="s">
        <v>13</v>
      </c>
    </row>
    <row r="4" spans="1:1">
      <c r="A4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Calculations for solutions</vt:lpstr>
      <vt:lpstr>Calculations for DNA and RNA</vt:lpstr>
      <vt:lpstr>Calculations for ligations</vt:lpstr>
      <vt:lpstr>Calculations for cell culture</vt:lpstr>
      <vt:lpstr>Behind the scenes stuff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 Grassie</dc:creator>
  <cp:lastModifiedBy>Laura Grassie</cp:lastModifiedBy>
  <dcterms:created xsi:type="dcterms:W3CDTF">2021-07-28T13:07:23Z</dcterms:created>
  <dcterms:modified xsi:type="dcterms:W3CDTF">2021-09-14T14:56:38Z</dcterms:modified>
</cp:coreProperties>
</file>